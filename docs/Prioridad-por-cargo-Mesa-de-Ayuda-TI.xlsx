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4640"/>
  </bookViews>
  <sheets>
    <sheet name="Prioridad por cargo" sheetId="1" r:id="rId1"/>
    <sheet name="Niveles" sheetId="2" r:id="rId2"/>
  </sheets>
  <definedNames>
    <definedName name="_xlnm._FilterDatabase" localSheetId="0" hidden="1">'Prioridad por cargo'!$A$4:$G$21</definedName>
    <definedName name="_xlnm.Print_Titles" localSheetId="0">'Prioridad por cargo'!$4:$4</definedName>
  </definedNames>
  <calcPr calcId="144525"/>
</workbook>
</file>

<file path=xl/calcChain.xml><?xml version="1.0" encoding="utf-8"?>
<calcChain xmlns="http://schemas.openxmlformats.org/spreadsheetml/2006/main">
  <c r="G21" i="1" l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E7" i="2"/>
  <c r="E6" i="2"/>
  <c r="E5" i="2"/>
  <c r="E4" i="2"/>
  <c r="E8" i="2" l="1"/>
</calcChain>
</file>

<file path=xl/sharedStrings.xml><?xml version="1.0" encoding="utf-8"?>
<sst xmlns="http://schemas.openxmlformats.org/spreadsheetml/2006/main" count="64" uniqueCount="57">
  <si>
    <t>Niveles de prioridad</t>
  </si>
  <si>
    <t>Nivel</t>
  </si>
  <si>
    <t>Nivel jerárquico</t>
  </si>
  <si>
    <t>Prioridad</t>
  </si>
  <si>
    <t>Plazo de resolución (horas)</t>
  </si>
  <si>
    <t>Cargos en el nivel</t>
  </si>
  <si>
    <t>Autoridad superior</t>
  </si>
  <si>
    <t>P1 Máxima</t>
  </si>
  <si>
    <t>Directivo</t>
  </si>
  <si>
    <t>P2 Alta</t>
  </si>
  <si>
    <t>Jefatura</t>
  </si>
  <si>
    <t>P3 Media</t>
  </si>
  <si>
    <t>Funcionario/a</t>
  </si>
  <si>
    <t>P4 Normal</t>
  </si>
  <si>
    <t>Total</t>
  </si>
  <si>
    <t>En azul: plazos editables. El resto de las cifras se calcula.</t>
  </si>
  <si>
    <t>Mesa de Ayuda TI · CONAF — Prioridad de atención según cargo</t>
  </si>
  <si>
    <t>Fuente: organigrama institucional de CONAF (agosto de 2026). Clasificación por nivel definida para la Mesa de Ayuda TI (js/datos.js, CATALOGOS.cargos). Versión de revisión, 29 de octubre de 2026.</t>
  </si>
  <si>
    <t>Orden de atención</t>
  </si>
  <si>
    <t>Cargo</t>
  </si>
  <si>
    <t>Unidad o alcance en el organigrama</t>
  </si>
  <si>
    <t>Director/a Ejecutivo/a</t>
  </si>
  <si>
    <t>Dirección Ejecutiva</t>
  </si>
  <si>
    <t>Subdirector/a Ejecutivo/a</t>
  </si>
  <si>
    <t>Subdirección Ejecutiva</t>
  </si>
  <si>
    <t>Fiscal</t>
  </si>
  <si>
    <t>Fiscalía</t>
  </si>
  <si>
    <t>Jefe/a de Gabinete</t>
  </si>
  <si>
    <t>Jefatura de Gabinete</t>
  </si>
  <si>
    <t>Secretario/a de Secretaría</t>
  </si>
  <si>
    <t>Secretarías de Asuntos Institucionales, Comunicaciones, Política Forestal, Asuntos Indígenas y Relaciones Internacionales</t>
  </si>
  <si>
    <t>Auditor/a Interno/a</t>
  </si>
  <si>
    <t>Auditoría Interna</t>
  </si>
  <si>
    <t>Gerente/a</t>
  </si>
  <si>
    <t>Gerencias de Fiscalización Forestal y Evaluación Ambiental; Bosques y Cambio Climático; Áreas Protegidas; Finanzas y Administración; Desarrollo de las Personas; Protección contra Incendios Forestales</t>
  </si>
  <si>
    <t>Director/a Regional</t>
  </si>
  <si>
    <t>Direcciones Regionales</t>
  </si>
  <si>
    <t>Jefe/a de Departamento</t>
  </si>
  <si>
    <t>Departamentos de las gerencias</t>
  </si>
  <si>
    <t>Jefe/a de Unidad</t>
  </si>
  <si>
    <t>Unidades de las gerencias y de la Secretaría de Asuntos Institucionales</t>
  </si>
  <si>
    <t>Jefe/a del Centro de Semillas Genéticas y Entomología</t>
  </si>
  <si>
    <t>Gerencia de Bosques y Cambio Climático</t>
  </si>
  <si>
    <t>Jefe/a de Programa</t>
  </si>
  <si>
    <t>Programa de Empleo</t>
  </si>
  <si>
    <t>Jefe/a de Oficina Provincial</t>
  </si>
  <si>
    <t>Oficinas Provinciales, incluida la Oficina Provincial de Isla de Pascua</t>
  </si>
  <si>
    <t>Profesional</t>
  </si>
  <si>
    <t>Todas las unidades (estamento, no figura en el organigrama)</t>
  </si>
  <si>
    <t>Técnico/a</t>
  </si>
  <si>
    <t>Administrativo/a</t>
  </si>
  <si>
    <t>Auxiliar</t>
  </si>
  <si>
    <t>Notas</t>
  </si>
  <si>
    <t>â€¢ Cómo se usa: la Casilla de solicitudes ordena primero por nivel (P1 a P4) y, dentro de un mismo nivel, por la columna «Orden de atención». A igual cargo, se atiende primero la solicitud más antigua.</t>
  </si>
  <si>
    <t>â€¢ Las columnas Nivel jerárquico, Prioridad y Plazo se calculan desde la hoja «Niveles». Para cambiar un plazo, edite la columna en azul de esa hoja.</t>
  </si>
  <si>
    <t>â€¢ La urgencia que indica el funcionario es informativa. Un Usuario TI puede ajustar a mano la prioridad de una solicitud cuando el caso lo justifica.</t>
  </si>
  <si>
    <t>â€¢ Los plazos son horas corridas desde el registro de la solicitud.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</si>
</sst>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10"/>
      <color theme="1"/>
      <name val="Arial"/>
      <family val="2"/>
    </font>
    <font>
      <i/>
      <sz val="10"/>
      <color rgb="FF58657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6B3C"/>
        <bgColor indexed="64"/>
      </patternFill>
    </fill>
    <fill>
      <patternFill patternType="solid">
        <fgColor rgb="FFFBE2E3"/>
        <bgColor indexed="64"/>
      </patternFill>
    </fill>
    <fill>
      <patternFill patternType="solid">
        <fgColor rgb="FFFBEED6"/>
        <bgColor indexed="64"/>
      </patternFill>
    </fill>
    <fill>
      <patternFill patternType="solid">
        <fgColor rgb="FFE0EDF8"/>
        <bgColor indexed="64"/>
      </patternFill>
    </fill>
    <fill>
      <patternFill patternType="solid">
        <fgColor rgb="FFE7EB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0" fontId="4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workbookViewId="0">
      <pane ySplit="4" topLeftCell="A5" activePane="bottomLeft" state="frozenSplit"/>
      <selection pane="bottomLeft"/>
    </sheetView>
  </sheetViews>
  <sheetFormatPr baseColWidth="10" defaultRowHeight="12.75" x14ac:dyDescent="0.2"/>
  <cols>
    <col min="1" max="1" width="10.7109375" style="1" customWidth="1"/>
    <col min="2" max="2" width="40.7109375" style="1" customWidth="1"/>
    <col min="3" max="3" width="62.7109375" style="1" customWidth="1"/>
    <col min="4" max="4" width="8.7109375" style="1" customWidth="1"/>
    <col min="5" max="5" width="20.7109375" style="1" customWidth="1"/>
    <col min="6" max="6" width="13.7109375" style="1" customWidth="1"/>
    <col min="7" max="7" width="14.7109375" style="1" customWidth="1"/>
    <col min="8" max="16384" width="11.42578125" style="1"/>
  </cols>
  <sheetData>
    <row r="1" spans="1:7" ht="16.5" x14ac:dyDescent="0.25">
      <c r="A1" s="3" t="s">
        <v>16</v>
      </c>
    </row>
    <row r="2" spans="1:7" x14ac:dyDescent="0.2">
      <c r="A2" s="10" t="s">
        <v>17</v>
      </c>
    </row>
    <row r="4" spans="1:7" ht="30" customHeight="1" x14ac:dyDescent="0.2">
      <c r="A4" s="11" t="s">
        <v>18</v>
      </c>
      <c r="B4" s="11" t="s">
        <v>19</v>
      </c>
      <c r="C4" s="11" t="s">
        <v>20</v>
      </c>
      <c r="D4" s="11" t="s">
        <v>1</v>
      </c>
      <c r="E4" s="11" t="s">
        <v>2</v>
      </c>
      <c r="F4" s="11" t="s">
        <v>3</v>
      </c>
      <c r="G4" s="11" t="s">
        <v>4</v>
      </c>
    </row>
    <row r="5" spans="1:7" ht="25.5" x14ac:dyDescent="0.2">
      <c r="A5" s="20">
        <v>1</v>
      </c>
      <c r="B5" s="12" t="s">
        <v>21</v>
      </c>
      <c r="C5" s="16" t="s">
        <v>22</v>
      </c>
      <c r="D5" s="20">
        <v>1</v>
      </c>
      <c r="E5" s="12" t="str">
        <f>INDEX(Niveles!$B$4:$B$7,MATCH(D5,Niveles!$A$4:$A$7,0))</f>
        <v>Autoridad superior</v>
      </c>
      <c r="F5" s="20" t="str">
        <f>INDEX(Niveles!$C$4:$C$7,MATCH(D5,Niveles!$A$4:$A$7,0))</f>
        <v>P1 Máxima</v>
      </c>
      <c r="G5" s="20">
        <f>INDEX(Niveles!$D$4:$D$7,MATCH(D5,Niveles!$A$4:$A$7,0))</f>
        <v>4</v>
      </c>
    </row>
    <row r="6" spans="1:7" ht="25.5" x14ac:dyDescent="0.2">
      <c r="A6" s="20">
        <v>2</v>
      </c>
      <c r="B6" s="12" t="s">
        <v>23</v>
      </c>
      <c r="C6" s="16" t="s">
        <v>24</v>
      </c>
      <c r="D6" s="20">
        <v>1</v>
      </c>
      <c r="E6" s="12" t="str">
        <f>INDEX(Niveles!$B$4:$B$7,MATCH(D6,Niveles!$A$4:$A$7,0))</f>
        <v>Autoridad superior</v>
      </c>
      <c r="F6" s="20" t="str">
        <f>INDEX(Niveles!$C$4:$C$7,MATCH(D6,Niveles!$A$4:$A$7,0))</f>
        <v>P1 Máxima</v>
      </c>
      <c r="G6" s="20">
        <f>INDEX(Niveles!$D$4:$D$7,MATCH(D6,Niveles!$A$4:$A$7,0))</f>
        <v>4</v>
      </c>
    </row>
    <row r="7" spans="1:7" x14ac:dyDescent="0.2">
      <c r="A7" s="21">
        <v>3</v>
      </c>
      <c r="B7" s="13" t="s">
        <v>25</v>
      </c>
      <c r="C7" s="17" t="s">
        <v>26</v>
      </c>
      <c r="D7" s="21">
        <v>2</v>
      </c>
      <c r="E7" s="13" t="str">
        <f>INDEX(Niveles!$B$4:$B$7,MATCH(D7,Niveles!$A$4:$A$7,0))</f>
        <v>Directivo</v>
      </c>
      <c r="F7" s="21" t="str">
        <f>INDEX(Niveles!$C$4:$C$7,MATCH(D7,Niveles!$A$4:$A$7,0))</f>
        <v>P2 Alta</v>
      </c>
      <c r="G7" s="21">
        <f>INDEX(Niveles!$D$4:$D$7,MATCH(D7,Niveles!$A$4:$A$7,0))</f>
        <v>8</v>
      </c>
    </row>
    <row r="8" spans="1:7" ht="25.5" x14ac:dyDescent="0.2">
      <c r="A8" s="21">
        <v>4</v>
      </c>
      <c r="B8" s="13" t="s">
        <v>27</v>
      </c>
      <c r="C8" s="17" t="s">
        <v>28</v>
      </c>
      <c r="D8" s="21">
        <v>2</v>
      </c>
      <c r="E8" s="13" t="str">
        <f>INDEX(Niveles!$B$4:$B$7,MATCH(D8,Niveles!$A$4:$A$7,0))</f>
        <v>Directivo</v>
      </c>
      <c r="F8" s="21" t="str">
        <f>INDEX(Niveles!$C$4:$C$7,MATCH(D8,Niveles!$A$4:$A$7,0))</f>
        <v>P2 Alta</v>
      </c>
      <c r="G8" s="21">
        <f>INDEX(Niveles!$D$4:$D$7,MATCH(D8,Niveles!$A$4:$A$7,0))</f>
        <v>8</v>
      </c>
    </row>
    <row r="9" spans="1:7" ht="165.75" x14ac:dyDescent="0.2">
      <c r="A9" s="21">
        <v>5</v>
      </c>
      <c r="B9" s="13" t="s">
        <v>29</v>
      </c>
      <c r="C9" s="17" t="s">
        <v>30</v>
      </c>
      <c r="D9" s="21">
        <v>2</v>
      </c>
      <c r="E9" s="13" t="str">
        <f>INDEX(Niveles!$B$4:$B$7,MATCH(D9,Niveles!$A$4:$A$7,0))</f>
        <v>Directivo</v>
      </c>
      <c r="F9" s="21" t="str">
        <f>INDEX(Niveles!$C$4:$C$7,MATCH(D9,Niveles!$A$4:$A$7,0))</f>
        <v>P2 Alta</v>
      </c>
      <c r="G9" s="21">
        <f>INDEX(Niveles!$D$4:$D$7,MATCH(D9,Niveles!$A$4:$A$7,0))</f>
        <v>8</v>
      </c>
    </row>
    <row r="10" spans="1:7" ht="25.5" x14ac:dyDescent="0.2">
      <c r="A10" s="21">
        <v>6</v>
      </c>
      <c r="B10" s="13" t="s">
        <v>31</v>
      </c>
      <c r="C10" s="17" t="s">
        <v>32</v>
      </c>
      <c r="D10" s="21">
        <v>2</v>
      </c>
      <c r="E10" s="13" t="str">
        <f>INDEX(Niveles!$B$4:$B$7,MATCH(D10,Niveles!$A$4:$A$7,0))</f>
        <v>Directivo</v>
      </c>
      <c r="F10" s="21" t="str">
        <f>INDEX(Niveles!$C$4:$C$7,MATCH(D10,Niveles!$A$4:$A$7,0))</f>
        <v>P2 Alta</v>
      </c>
      <c r="G10" s="21">
        <f>INDEX(Niveles!$D$4:$D$7,MATCH(D10,Niveles!$A$4:$A$7,0))</f>
        <v>8</v>
      </c>
    </row>
    <row r="11" spans="1:7" ht="267.75" x14ac:dyDescent="0.2">
      <c r="A11" s="21">
        <v>7</v>
      </c>
      <c r="B11" s="13" t="s">
        <v>33</v>
      </c>
      <c r="C11" s="17" t="s">
        <v>34</v>
      </c>
      <c r="D11" s="21">
        <v>2</v>
      </c>
      <c r="E11" s="13" t="str">
        <f>INDEX(Niveles!$B$4:$B$7,MATCH(D11,Niveles!$A$4:$A$7,0))</f>
        <v>Directivo</v>
      </c>
      <c r="F11" s="21" t="str">
        <f>INDEX(Niveles!$C$4:$C$7,MATCH(D11,Niveles!$A$4:$A$7,0))</f>
        <v>P2 Alta</v>
      </c>
      <c r="G11" s="21">
        <f>INDEX(Niveles!$D$4:$D$7,MATCH(D11,Niveles!$A$4:$A$7,0))</f>
        <v>8</v>
      </c>
    </row>
    <row r="12" spans="1:7" ht="25.5" x14ac:dyDescent="0.2">
      <c r="A12" s="21">
        <v>8</v>
      </c>
      <c r="B12" s="13" t="s">
        <v>35</v>
      </c>
      <c r="C12" s="17" t="s">
        <v>36</v>
      </c>
      <c r="D12" s="21">
        <v>2</v>
      </c>
      <c r="E12" s="13" t="str">
        <f>INDEX(Niveles!$B$4:$B$7,MATCH(D12,Niveles!$A$4:$A$7,0))</f>
        <v>Directivo</v>
      </c>
      <c r="F12" s="21" t="str">
        <f>INDEX(Niveles!$C$4:$C$7,MATCH(D12,Niveles!$A$4:$A$7,0))</f>
        <v>P2 Alta</v>
      </c>
      <c r="G12" s="21">
        <f>INDEX(Niveles!$D$4:$D$7,MATCH(D12,Niveles!$A$4:$A$7,0))</f>
        <v>8</v>
      </c>
    </row>
    <row r="13" spans="1:7" ht="38.25" x14ac:dyDescent="0.2">
      <c r="A13" s="22">
        <v>9</v>
      </c>
      <c r="B13" s="14" t="s">
        <v>37</v>
      </c>
      <c r="C13" s="18" t="s">
        <v>38</v>
      </c>
      <c r="D13" s="22">
        <v>3</v>
      </c>
      <c r="E13" s="14" t="str">
        <f>INDEX(Niveles!$B$4:$B$7,MATCH(D13,Niveles!$A$4:$A$7,0))</f>
        <v>Jefatura</v>
      </c>
      <c r="F13" s="22" t="str">
        <f>INDEX(Niveles!$C$4:$C$7,MATCH(D13,Niveles!$A$4:$A$7,0))</f>
        <v>P3 Media</v>
      </c>
      <c r="G13" s="22">
        <f>INDEX(Niveles!$D$4:$D$7,MATCH(D13,Niveles!$A$4:$A$7,0))</f>
        <v>24</v>
      </c>
    </row>
    <row r="14" spans="1:7" ht="102" x14ac:dyDescent="0.2">
      <c r="A14" s="22">
        <v>10</v>
      </c>
      <c r="B14" s="14" t="s">
        <v>39</v>
      </c>
      <c r="C14" s="18" t="s">
        <v>40</v>
      </c>
      <c r="D14" s="22">
        <v>3</v>
      </c>
      <c r="E14" s="14" t="str">
        <f>INDEX(Niveles!$B$4:$B$7,MATCH(D14,Niveles!$A$4:$A$7,0))</f>
        <v>Jefatura</v>
      </c>
      <c r="F14" s="22" t="str">
        <f>INDEX(Niveles!$C$4:$C$7,MATCH(D14,Niveles!$A$4:$A$7,0))</f>
        <v>P3 Media</v>
      </c>
      <c r="G14" s="22">
        <f>INDEX(Niveles!$D$4:$D$7,MATCH(D14,Niveles!$A$4:$A$7,0))</f>
        <v>24</v>
      </c>
    </row>
    <row r="15" spans="1:7" ht="51" x14ac:dyDescent="0.2">
      <c r="A15" s="22">
        <v>11</v>
      </c>
      <c r="B15" s="14" t="s">
        <v>41</v>
      </c>
      <c r="C15" s="18" t="s">
        <v>42</v>
      </c>
      <c r="D15" s="22">
        <v>3</v>
      </c>
      <c r="E15" s="14" t="str">
        <f>INDEX(Niveles!$B$4:$B$7,MATCH(D15,Niveles!$A$4:$A$7,0))</f>
        <v>Jefatura</v>
      </c>
      <c r="F15" s="22" t="str">
        <f>INDEX(Niveles!$C$4:$C$7,MATCH(D15,Niveles!$A$4:$A$7,0))</f>
        <v>P3 Media</v>
      </c>
      <c r="G15" s="22">
        <f>INDEX(Niveles!$D$4:$D$7,MATCH(D15,Niveles!$A$4:$A$7,0))</f>
        <v>24</v>
      </c>
    </row>
    <row r="16" spans="1:7" ht="25.5" x14ac:dyDescent="0.2">
      <c r="A16" s="22">
        <v>12</v>
      </c>
      <c r="B16" s="14" t="s">
        <v>43</v>
      </c>
      <c r="C16" s="18" t="s">
        <v>44</v>
      </c>
      <c r="D16" s="22">
        <v>3</v>
      </c>
      <c r="E16" s="14" t="str">
        <f>INDEX(Niveles!$B$4:$B$7,MATCH(D16,Niveles!$A$4:$A$7,0))</f>
        <v>Jefatura</v>
      </c>
      <c r="F16" s="22" t="str">
        <f>INDEX(Niveles!$C$4:$C$7,MATCH(D16,Niveles!$A$4:$A$7,0))</f>
        <v>P3 Media</v>
      </c>
      <c r="G16" s="22">
        <f>INDEX(Niveles!$D$4:$D$7,MATCH(D16,Niveles!$A$4:$A$7,0))</f>
        <v>24</v>
      </c>
    </row>
    <row r="17" spans="1:7" ht="89.25" x14ac:dyDescent="0.2">
      <c r="A17" s="22">
        <v>13</v>
      </c>
      <c r="B17" s="14" t="s">
        <v>45</v>
      </c>
      <c r="C17" s="18" t="s">
        <v>46</v>
      </c>
      <c r="D17" s="22">
        <v>3</v>
      </c>
      <c r="E17" s="14" t="str">
        <f>INDEX(Niveles!$B$4:$B$7,MATCH(D17,Niveles!$A$4:$A$7,0))</f>
        <v>Jefatura</v>
      </c>
      <c r="F17" s="22" t="str">
        <f>INDEX(Niveles!$C$4:$C$7,MATCH(D17,Niveles!$A$4:$A$7,0))</f>
        <v>P3 Media</v>
      </c>
      <c r="G17" s="22">
        <f>INDEX(Niveles!$D$4:$D$7,MATCH(D17,Niveles!$A$4:$A$7,0))</f>
        <v>24</v>
      </c>
    </row>
    <row r="18" spans="1:7" ht="89.25" x14ac:dyDescent="0.2">
      <c r="A18" s="23">
        <v>14</v>
      </c>
      <c r="B18" s="15" t="s">
        <v>47</v>
      </c>
      <c r="C18" s="19" t="s">
        <v>48</v>
      </c>
      <c r="D18" s="23">
        <v>4</v>
      </c>
      <c r="E18" s="15" t="str">
        <f>INDEX(Niveles!$B$4:$B$7,MATCH(D18,Niveles!$A$4:$A$7,0))</f>
        <v>Funcionario/a</v>
      </c>
      <c r="F18" s="23" t="str">
        <f>INDEX(Niveles!$C$4:$C$7,MATCH(D18,Niveles!$A$4:$A$7,0))</f>
        <v>P4 Normal</v>
      </c>
      <c r="G18" s="23">
        <f>INDEX(Niveles!$D$4:$D$7,MATCH(D18,Niveles!$A$4:$A$7,0))</f>
        <v>72</v>
      </c>
    </row>
    <row r="19" spans="1:7" ht="89.25" x14ac:dyDescent="0.2">
      <c r="A19" s="23">
        <v>15</v>
      </c>
      <c r="B19" s="15" t="s">
        <v>49</v>
      </c>
      <c r="C19" s="19" t="s">
        <v>48</v>
      </c>
      <c r="D19" s="23">
        <v>4</v>
      </c>
      <c r="E19" s="15" t="str">
        <f>INDEX(Niveles!$B$4:$B$7,MATCH(D19,Niveles!$A$4:$A$7,0))</f>
        <v>Funcionario/a</v>
      </c>
      <c r="F19" s="23" t="str">
        <f>INDEX(Niveles!$C$4:$C$7,MATCH(D19,Niveles!$A$4:$A$7,0))</f>
        <v>P4 Normal</v>
      </c>
      <c r="G19" s="23">
        <f>INDEX(Niveles!$D$4:$D$7,MATCH(D19,Niveles!$A$4:$A$7,0))</f>
        <v>72</v>
      </c>
    </row>
    <row r="20" spans="1:7" ht="89.25" x14ac:dyDescent="0.2">
      <c r="A20" s="23">
        <v>16</v>
      </c>
      <c r="B20" s="15" t="s">
        <v>50</v>
      </c>
      <c r="C20" s="19" t="s">
        <v>48</v>
      </c>
      <c r="D20" s="23">
        <v>4</v>
      </c>
      <c r="E20" s="15" t="str">
        <f>INDEX(Niveles!$B$4:$B$7,MATCH(D20,Niveles!$A$4:$A$7,0))</f>
        <v>Funcionario/a</v>
      </c>
      <c r="F20" s="23" t="str">
        <f>INDEX(Niveles!$C$4:$C$7,MATCH(D20,Niveles!$A$4:$A$7,0))</f>
        <v>P4 Normal</v>
      </c>
      <c r="G20" s="23">
        <f>INDEX(Niveles!$D$4:$D$7,MATCH(D20,Niveles!$A$4:$A$7,0))</f>
        <v>72</v>
      </c>
    </row>
    <row r="21" spans="1:7" ht="89.25" x14ac:dyDescent="0.2">
      <c r="A21" s="23">
        <v>17</v>
      </c>
      <c r="B21" s="15" t="s">
        <v>51</v>
      </c>
      <c r="C21" s="19" t="s">
        <v>48</v>
      </c>
      <c r="D21" s="23">
        <v>4</v>
      </c>
      <c r="E21" s="15" t="str">
        <f>INDEX(Niveles!$B$4:$B$7,MATCH(D21,Niveles!$A$4:$A$7,0))</f>
        <v>Funcionario/a</v>
      </c>
      <c r="F21" s="23" t="str">
        <f>INDEX(Niveles!$C$4:$C$7,MATCH(D21,Niveles!$A$4:$A$7,0))</f>
        <v>P4 Normal</v>
      </c>
      <c r="G21" s="23">
        <f>INDEX(Niveles!$D$4:$D$7,MATCH(D21,Niveles!$A$4:$A$7,0))</f>
        <v>72</v>
      </c>
    </row>
    <row r="23" spans="1:7" x14ac:dyDescent="0.2">
      <c r="A23" s="2" t="s">
        <v>52</v>
      </c>
    </row>
    <row r="24" spans="1:7" x14ac:dyDescent="0.2">
      <c r="A24" s="1" t="s">
        <v>53</v>
      </c>
    </row>
    <row r="25" spans="1:7" x14ac:dyDescent="0.2">
      <c r="A25" s="1" t="s">
        <v>54</v>
      </c>
    </row>
    <row r="26" spans="1:7" x14ac:dyDescent="0.2">
      <c r="A26" s="1" t="s">
        <v>55</v>
      </c>
    </row>
    <row r="27" spans="1:7" x14ac:dyDescent="0.2">
      <c r="A27" s="1" t="s">
        <v>56</v>
      </c>
    </row>
  </sheetData>
  <autoFilter ref="A4:G21"/>
  <pageMargins left="0.7" right="0.7" top="0.75" bottom="0.75" header="0.3" footer="0.3"/>
  <pageSetup scale="71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workbookViewId="0"/>
  </sheetViews>
  <sheetFormatPr baseColWidth="10" defaultRowHeight="12.75" x14ac:dyDescent="0.2"/>
  <cols>
    <col min="1" max="1" width="8.7109375" style="1" customWidth="1"/>
    <col min="2" max="2" width="24.7109375" style="1" customWidth="1"/>
    <col min="3" max="3" width="14.7109375" style="1" customWidth="1"/>
    <col min="4" max="4" width="16.7109375" style="1" customWidth="1"/>
    <col min="5" max="5" width="12.7109375" style="1" customWidth="1"/>
    <col min="6" max="16384" width="11.42578125" style="1"/>
  </cols>
  <sheetData>
    <row r="1" spans="1:5" ht="16.5" x14ac:dyDescent="0.25">
      <c r="A1" s="3" t="s">
        <v>0</v>
      </c>
    </row>
    <row r="3" spans="1:5" ht="30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5" x14ac:dyDescent="0.2">
      <c r="A4" s="7">
        <v>1</v>
      </c>
      <c r="B4" s="6" t="s">
        <v>6</v>
      </c>
      <c r="C4" s="6" t="s">
        <v>7</v>
      </c>
      <c r="D4" s="8">
        <v>4</v>
      </c>
      <c r="E4" s="7">
        <f>COUNTIF('Prioridad por cargo'!$D$5:$D$21,A4)</f>
        <v>2</v>
      </c>
    </row>
    <row r="5" spans="1:5" x14ac:dyDescent="0.2">
      <c r="A5" s="7">
        <v>2</v>
      </c>
      <c r="B5" s="6" t="s">
        <v>8</v>
      </c>
      <c r="C5" s="6" t="s">
        <v>9</v>
      </c>
      <c r="D5" s="8">
        <v>8</v>
      </c>
      <c r="E5" s="7">
        <f>COUNTIF('Prioridad por cargo'!$D$5:$D$21,A5)</f>
        <v>6</v>
      </c>
    </row>
    <row r="6" spans="1:5" x14ac:dyDescent="0.2">
      <c r="A6" s="7">
        <v>3</v>
      </c>
      <c r="B6" s="6" t="s">
        <v>10</v>
      </c>
      <c r="C6" s="6" t="s">
        <v>11</v>
      </c>
      <c r="D6" s="8">
        <v>24</v>
      </c>
      <c r="E6" s="7">
        <f>COUNTIF('Prioridad por cargo'!$D$5:$D$21,A6)</f>
        <v>5</v>
      </c>
    </row>
    <row r="7" spans="1:5" x14ac:dyDescent="0.2">
      <c r="A7" s="7">
        <v>4</v>
      </c>
      <c r="B7" s="6" t="s">
        <v>12</v>
      </c>
      <c r="C7" s="6" t="s">
        <v>13</v>
      </c>
      <c r="D7" s="8">
        <v>72</v>
      </c>
      <c r="E7" s="7">
        <f>COUNTIF('Prioridad por cargo'!$D$5:$D$21,A7)</f>
        <v>4</v>
      </c>
    </row>
    <row r="8" spans="1:5" x14ac:dyDescent="0.2">
      <c r="A8" s="6"/>
      <c r="B8" s="6"/>
      <c r="C8" s="6"/>
      <c r="D8" s="9" t="s">
        <v>14</v>
      </c>
      <c r="E8" s="9">
        <f>SUM(E4:E7)</f>
        <v>17</v>
      </c>
    </row>
    <row r="10" spans="1:5" x14ac:dyDescent="0.2">
      <c r="A10" s="4" t="s">
        <v>15</v>
      </c>
    </row>
  </sheetData>
  <pageMargins left="0.7" right="0.7" top="0.75" bottom="0.75" header="0.3" footer="0.3"/>
  <pageSetup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Prioridad por cargo</vt:lpstr>
      <vt:lpstr>Niveles</vt:lpstr>
      <vt:lpstr>'Prioridad por cargo'!Títulos_a_imprimir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Parra Aguayo</dc:creator>
  <cp:lastModifiedBy>Rodrigo Parra Aguayo</cp:lastModifiedBy>
  <dcterms:created xsi:type="dcterms:W3CDTF">2026-10-29T18:21:53Z</dcterms:created>
  <dcterms:modified xsi:type="dcterms:W3CDTF">2026-10-29T18:21:54Z</dcterms:modified>
</cp:coreProperties>
</file>